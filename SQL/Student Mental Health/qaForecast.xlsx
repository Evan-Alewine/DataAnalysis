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wine\Documents\Professional\Projects\Data\SQL\Student Mental Health\"/>
    </mc:Choice>
  </mc:AlternateContent>
  <xr:revisionPtr revIDLastSave="0" documentId="13_ncr:1_{8E656674-BB1F-41E9-88A8-8A84236DC282}" xr6:coauthVersionLast="47" xr6:coauthVersionMax="47" xr10:uidLastSave="{00000000-0000-0000-0000-000000000000}"/>
  <bookViews>
    <workbookView xWindow="-120" yWindow="-120" windowWidth="38640" windowHeight="21120" xr2:uid="{3157AC8C-4816-45E7-9444-750D585FB62B}"/>
  </bookViews>
  <sheets>
    <sheet name="Demonstration of Faulty Data" sheetId="6" r:id="rId1"/>
    <sheet name="Forecasted PHQ9" sheetId="2" r:id="rId2"/>
    <sheet name="Pivot Table" sheetId="5" r:id="rId3"/>
    <sheet name="qaresults - Copy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6" l="1"/>
  <c r="C6" i="6"/>
  <c r="C12" i="2"/>
  <c r="C13" i="2"/>
  <c r="C14" i="2"/>
  <c r="C15" i="2"/>
  <c r="C16" i="2"/>
  <c r="D16" i="2"/>
  <c r="E16" i="2"/>
  <c r="E15" i="2"/>
  <c r="E13" i="2"/>
  <c r="D12" i="2"/>
  <c r="E12" i="2"/>
  <c r="D15" i="2"/>
  <c r="E14" i="2"/>
  <c r="D14" i="2"/>
  <c r="D13" i="2"/>
  <c r="D6" i="6"/>
  <c r="E6" i="6"/>
  <c r="D7" i="6"/>
  <c r="E7" i="6"/>
</calcChain>
</file>

<file path=xl/sharedStrings.xml><?xml version="1.0" encoding="utf-8"?>
<sst xmlns="http://schemas.openxmlformats.org/spreadsheetml/2006/main" count="19" uniqueCount="15">
  <si>
    <t>stay</t>
  </si>
  <si>
    <t>count_int</t>
  </si>
  <si>
    <t>average_phq</t>
  </si>
  <si>
    <t>average_scs</t>
  </si>
  <si>
    <t>average_as</t>
  </si>
  <si>
    <t>Values</t>
  </si>
  <si>
    <t>Forecast</t>
  </si>
  <si>
    <t>Lower Confidence Bound</t>
  </si>
  <si>
    <t>Upper Confidence Bound</t>
  </si>
  <si>
    <t>PHQ-9</t>
  </si>
  <si>
    <t>Timeline</t>
  </si>
  <si>
    <t>Row Labels</t>
  </si>
  <si>
    <t>Grand Total</t>
  </si>
  <si>
    <t>Sum of count_int</t>
  </si>
  <si>
    <t>Average of average_phq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</si>
</sst>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Demonstration</a:t>
            </a:r>
            <a:r>
              <a:rPr lang="en-US" baseline="0"/>
              <a:t> of Faulty Forecast Due to Small Sample of Graduate Students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'Demonstration of Faulty Data'!$B$1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'Demonstration of Faulty Data'!$B$2:$B$7</c:f>
              <c:numCache>
                <c:formatCode>General</c:formatCode>
                <c:ptCount val="6"/>
                <c:pt idx="0">
                  <c:v>7.48</c:v>
                </c:pt>
                <c:pt idx="1">
                  <c:v>8.2799999999999994</c:v>
                </c:pt>
                <c:pt idx="2">
                  <c:v>9.09</c:v>
                </c:pt>
                <c:pt idx="3">
                  <c:v>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F-4A85-B50F-093548B25900}"/>
            </c:ext>
          </c:extLst>
        </c:ser>
        <c:ser>
          <c:idx val="1"/>
          <c:order val="1"/>
          <c:tx>
            <c:strRef>
              <c:f>'Demonstration of Faulty Data'!$C$1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'Demonstration of Faulty Data'!$A$2:$A$7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'Demonstration of Faulty Data'!$C$2:$C$7</c:f>
              <c:numCache>
                <c:formatCode>General</c:formatCode>
                <c:ptCount val="6"/>
                <c:pt idx="3">
                  <c:v>8.57</c:v>
                </c:pt>
                <c:pt idx="4">
                  <c:v>9.2068952165810671</c:v>
                </c:pt>
                <c:pt idx="5">
                  <c:v>9.5873617305728498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5F-4A85-B50F-093548B25900}"/>
            </c:ext>
          </c:extLst>
        </c:ser>
        <c:ser>
          <c:idx val="2"/>
          <c:order val="2"/>
          <c:tx>
            <c:strRef>
              <c:f>'Demonstration of Faulty Data'!$D$1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'Demonstration of Faulty Data'!$A$2:$A$7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'Demonstration of Faulty Data'!$D$2:$D$7</c:f>
              <c:numCache>
                <c:formatCode>General</c:formatCode>
                <c:ptCount val="6"/>
                <c:pt idx="3" formatCode="0.00">
                  <c:v>8.57</c:v>
                </c:pt>
                <c:pt idx="4" formatCode="0.00">
                  <c:v>8.3039658068336539</c:v>
                </c:pt>
                <c:pt idx="5" formatCode="0.00">
                  <c:v>8.6564239936835889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F-4A85-B50F-093548B25900}"/>
            </c:ext>
          </c:extLst>
        </c:ser>
        <c:ser>
          <c:idx val="3"/>
          <c:order val="3"/>
          <c:tx>
            <c:strRef>
              <c:f>'Demonstration of Faulty Data'!$E$1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'Demonstration of Faulty Data'!$A$2:$A$7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'Demonstration of Faulty Data'!$E$2:$E$7</c:f>
              <c:numCache>
                <c:formatCode>General</c:formatCode>
                <c:ptCount val="6"/>
                <c:pt idx="3" formatCode="0.00">
                  <c:v>8.57</c:v>
                </c:pt>
                <c:pt idx="4" formatCode="0.00">
                  <c:v>10.10982462632848</c:v>
                </c:pt>
                <c:pt idx="5" formatCode="0.00">
                  <c:v>10.518299467462111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5F-4A85-B50F-093548B25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8722240"/>
        <c:axId val="1658705920"/>
      </c:lineChart>
      <c:catAx>
        <c:axId val="165872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 of Stay</a:t>
                </a:r>
              </a:p>
            </c:rich>
          </c:tx>
          <c:layout>
            <c:manualLayout>
              <c:xMode val="edge"/>
              <c:yMode val="edge"/>
              <c:x val="0.50000703145363179"/>
              <c:y val="0.878137411594500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705920"/>
        <c:crosses val="autoZero"/>
        <c:auto val="1"/>
        <c:lblAlgn val="ctr"/>
        <c:lblOffset val="100"/>
        <c:noMultiLvlLbl val="0"/>
      </c:catAx>
      <c:valAx>
        <c:axId val="16587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Depression Levels (PHQ-9)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3677495611062E-2"/>
          <c:y val="1.6512693417244973E-2"/>
          <c:w val="0.90578755014113799"/>
          <c:h val="0.76466466461727256"/>
        </c:manualLayout>
      </c:layout>
      <c:lineChart>
        <c:grouping val="standard"/>
        <c:varyColors val="0"/>
        <c:ser>
          <c:idx val="0"/>
          <c:order val="0"/>
          <c:tx>
            <c:strRef>
              <c:f>'Forecasted PHQ9'!$B$1</c:f>
              <c:strCache>
                <c:ptCount val="1"/>
                <c:pt idx="0">
                  <c:v>PHQ-9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'Forecasted PHQ9'!$B$2:$B$16</c:f>
              <c:numCache>
                <c:formatCode>General</c:formatCode>
                <c:ptCount val="15"/>
                <c:pt idx="0">
                  <c:v>7.48</c:v>
                </c:pt>
                <c:pt idx="1">
                  <c:v>8.2799999999999994</c:v>
                </c:pt>
                <c:pt idx="2">
                  <c:v>9.09</c:v>
                </c:pt>
                <c:pt idx="3">
                  <c:v>8.57</c:v>
                </c:pt>
                <c:pt idx="4">
                  <c:v>0</c:v>
                </c:pt>
                <c:pt idx="5">
                  <c:v>6</c:v>
                </c:pt>
                <c:pt idx="6">
                  <c:v>4</c:v>
                </c:pt>
                <c:pt idx="7">
                  <c:v>10</c:v>
                </c:pt>
                <c:pt idx="8">
                  <c:v>11.5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C-46F3-AE8C-E9FE6E1858BB}"/>
            </c:ext>
          </c:extLst>
        </c:ser>
        <c:ser>
          <c:idx val="1"/>
          <c:order val="1"/>
          <c:tx>
            <c:strRef>
              <c:f>'Forecasted PHQ9'!$C$1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'Forecasted PHQ9'!$A$2:$A$16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'Forecasted PHQ9'!$C$2:$C$16</c:f>
              <c:numCache>
                <c:formatCode>General</c:formatCode>
                <c:ptCount val="15"/>
                <c:pt idx="9">
                  <c:v>13</c:v>
                </c:pt>
                <c:pt idx="10">
                  <c:v>12.028440231930329</c:v>
                </c:pt>
                <c:pt idx="11">
                  <c:v>12.447775662533569</c:v>
                </c:pt>
                <c:pt idx="12">
                  <c:v>12.867111093136801</c:v>
                </c:pt>
                <c:pt idx="13">
                  <c:v>13.286446523740041</c:v>
                </c:pt>
                <c:pt idx="14">
                  <c:v>13.705781954343275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C-46F3-AE8C-E9FE6E1858BB}"/>
            </c:ext>
          </c:extLst>
        </c:ser>
        <c:ser>
          <c:idx val="2"/>
          <c:order val="2"/>
          <c:tx>
            <c:strRef>
              <c:f>'Forecasted PHQ9'!$D$1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'Forecasted PHQ9'!$A$2:$A$16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'Forecasted PHQ9'!$D$2:$D$16</c:f>
              <c:numCache>
                <c:formatCode>General</c:formatCode>
                <c:ptCount val="15"/>
                <c:pt idx="9" formatCode="0.00">
                  <c:v>13</c:v>
                </c:pt>
                <c:pt idx="10" formatCode="0.00">
                  <c:v>6.0319032753610067</c:v>
                </c:pt>
                <c:pt idx="11" formatCode="0.00">
                  <c:v>5.7407596529131917</c:v>
                </c:pt>
                <c:pt idx="12" formatCode="0.00">
                  <c:v>5.5155304218835521</c:v>
                </c:pt>
                <c:pt idx="13" formatCode="0.00">
                  <c:v>5.3401548586717658</c:v>
                </c:pt>
                <c:pt idx="14" formatCode="0.00">
                  <c:v>5.2041600942872464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2C-46F3-AE8C-E9FE6E1858BB}"/>
            </c:ext>
          </c:extLst>
        </c:ser>
        <c:ser>
          <c:idx val="3"/>
          <c:order val="3"/>
          <c:tx>
            <c:strRef>
              <c:f>'Forecasted PHQ9'!$E$1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'Forecasted PHQ9'!$A$2:$A$16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'Forecasted PHQ9'!$E$2:$E$16</c:f>
              <c:numCache>
                <c:formatCode>General</c:formatCode>
                <c:ptCount val="15"/>
                <c:pt idx="9" formatCode="0.00">
                  <c:v>13</c:v>
                </c:pt>
                <c:pt idx="10" formatCode="0.00">
                  <c:v>18.024977188499651</c:v>
                </c:pt>
                <c:pt idx="11" formatCode="0.00">
                  <c:v>19.154791672153948</c:v>
                </c:pt>
                <c:pt idx="12" formatCode="0.00">
                  <c:v>20.218691764390051</c:v>
                </c:pt>
                <c:pt idx="13" formatCode="0.00">
                  <c:v>21.232738188808316</c:v>
                </c:pt>
                <c:pt idx="14" formatCode="0.00">
                  <c:v>22.207403814399303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C-46F3-AE8C-E9FE6E185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7383360"/>
        <c:axId val="317369440"/>
      </c:lineChart>
      <c:catAx>
        <c:axId val="31738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  <a:r>
                  <a:rPr lang="en-US" baseline="0"/>
                  <a:t> of Stay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369440"/>
        <c:crosses val="autoZero"/>
        <c:auto val="1"/>
        <c:lblAlgn val="ctr"/>
        <c:lblOffset val="100"/>
        <c:noMultiLvlLbl val="0"/>
      </c:catAx>
      <c:valAx>
        <c:axId val="31736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Depression</a:t>
                </a:r>
                <a:r>
                  <a:rPr lang="en-US" baseline="0"/>
                  <a:t> Levels (PHQ-9)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38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0</xdr:row>
      <xdr:rowOff>152399</xdr:rowOff>
    </xdr:from>
    <xdr:to>
      <xdr:col>19</xdr:col>
      <xdr:colOff>295275</xdr:colOff>
      <xdr:row>27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859AE-4743-1CE3-D8D9-A751BF412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0</xdr:row>
      <xdr:rowOff>180975</xdr:rowOff>
    </xdr:from>
    <xdr:to>
      <xdr:col>24</xdr:col>
      <xdr:colOff>523875</xdr:colOff>
      <xdr:row>26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7EF454-13C2-124E-9397-979F75E62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wine" refreshedDate="46170.092952893516" createdVersion="8" refreshedVersion="8" minRefreshableVersion="3" recordCount="9" xr:uid="{4CD93DD7-3F53-48F8-B46E-D9FE7B611584}">
  <cacheSource type="worksheet">
    <worksheetSource name="Table4"/>
  </cacheSource>
  <cacheFields count="5">
    <cacheField name="stay" numFmtId="0">
      <sharedItems containsSemiMixedTypes="0" containsString="0" containsNumber="1" containsInteger="1" minValue="1" maxValue="10" count="9">
        <n v="10"/>
        <n v="8"/>
        <n v="7"/>
        <n v="6"/>
        <n v="5"/>
        <n v="4"/>
        <n v="3"/>
        <n v="2"/>
        <n v="1"/>
      </sharedItems>
    </cacheField>
    <cacheField name="count_int" numFmtId="0">
      <sharedItems containsSemiMixedTypes="0" containsString="0" containsNumber="1" containsInteger="1" minValue="1" maxValue="95"/>
    </cacheField>
    <cacheField name="average_phq" numFmtId="0">
      <sharedItems containsSemiMixedTypes="0" containsString="0" containsNumber="1" minValue="0" maxValue="13" count="9">
        <n v="13"/>
        <n v="10"/>
        <n v="4"/>
        <n v="6"/>
        <n v="0"/>
        <n v="8.57"/>
        <n v="9.09"/>
        <n v="8.2799999999999994"/>
        <n v="7.48"/>
      </sharedItems>
    </cacheField>
    <cacheField name="average_scs" numFmtId="0">
      <sharedItems containsSemiMixedTypes="0" containsString="0" containsNumber="1" minValue="32" maxValue="48" count="9">
        <n v="32"/>
        <n v="44"/>
        <n v="48"/>
        <n v="38"/>
        <n v="34"/>
        <n v="33.93"/>
        <n v="37.130000000000003"/>
        <n v="37.08"/>
        <n v="38.11"/>
      </sharedItems>
    </cacheField>
    <cacheField name="average_as" numFmtId="0">
      <sharedItems containsSemiMixedTypes="0" containsString="0" containsNumber="1" minValue="45" maxValue="91" count="9">
        <n v="50"/>
        <n v="65"/>
        <n v="45"/>
        <n v="58.67"/>
        <n v="91"/>
        <n v="87.71"/>
        <n v="78"/>
        <n v="77.67"/>
        <n v="72.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1"/>
    <x v="0"/>
    <x v="0"/>
    <x v="0"/>
  </r>
  <r>
    <x v="1"/>
    <n v="1"/>
    <x v="1"/>
    <x v="1"/>
    <x v="1"/>
  </r>
  <r>
    <x v="2"/>
    <n v="1"/>
    <x v="2"/>
    <x v="2"/>
    <x v="2"/>
  </r>
  <r>
    <x v="3"/>
    <n v="3"/>
    <x v="3"/>
    <x v="3"/>
    <x v="3"/>
  </r>
  <r>
    <x v="4"/>
    <n v="1"/>
    <x v="4"/>
    <x v="4"/>
    <x v="4"/>
  </r>
  <r>
    <x v="5"/>
    <n v="14"/>
    <x v="5"/>
    <x v="5"/>
    <x v="5"/>
  </r>
  <r>
    <x v="6"/>
    <n v="46"/>
    <x v="6"/>
    <x v="6"/>
    <x v="6"/>
  </r>
  <r>
    <x v="7"/>
    <n v="39"/>
    <x v="7"/>
    <x v="7"/>
    <x v="7"/>
  </r>
  <r>
    <x v="8"/>
    <n v="95"/>
    <x v="8"/>
    <x v="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22207-F7AE-4226-A7C4-E1A9F1B5065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5">
    <pivotField axis="axisRow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dataField="1" showAll="0">
      <items count="10">
        <item x="4"/>
        <item x="2"/>
        <item x="3"/>
        <item x="8"/>
        <item x="7"/>
        <item x="5"/>
        <item x="6"/>
        <item x="1"/>
        <item x="0"/>
        <item t="default"/>
      </items>
    </pivotField>
    <pivotField showAll="0">
      <items count="10">
        <item x="0"/>
        <item x="5"/>
        <item x="4"/>
        <item x="7"/>
        <item x="6"/>
        <item x="3"/>
        <item x="8"/>
        <item x="1"/>
        <item x="2"/>
        <item t="default"/>
      </items>
    </pivotField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_int" fld="1" baseField="0" baseItem="0"/>
    <dataField name="Average of average_phq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4B8EFD-C965-4FA6-AEB4-BFEA73906C6F}" name="Table5" displayName="Table5" ref="A1:E7" totalsRowShown="0">
  <autoFilter ref="A1:E7" xr:uid="{5A4B8EFD-C965-4FA6-AEB4-BFEA73906C6F}"/>
  <tableColumns count="5">
    <tableColumn id="1" xr3:uid="{784E9AF7-984C-4D9B-AE3F-E330BF1F9D8A}" name="Timeline"/>
    <tableColumn id="2" xr3:uid="{4C947D12-234C-496C-93E7-A78D2EB03ABF}" name="Values"/>
    <tableColumn id="3" xr3:uid="{B259C6B3-4F5E-43BE-8257-2E94826BA360}" name="Forecast"/>
    <tableColumn id="4" xr3:uid="{A7C355AE-8BBC-48E2-A9E3-D3AFF0F214EE}" name="Lower Confidence Bound" dataDxfId="3"/>
    <tableColumn id="5" xr3:uid="{08DDAD8A-71FC-4DEC-A24D-47D6262C71E8}" name="Upper Confidence Bound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0A7B1B-108C-48DB-A18E-5250E2D51424}" name="Table1" displayName="Table1" ref="A1:E16" totalsRowShown="0">
  <autoFilter ref="A1:E16" xr:uid="{130A7B1B-108C-48DB-A18E-5250E2D51424}"/>
  <tableColumns count="5">
    <tableColumn id="1" xr3:uid="{1D6DEDB6-DB76-4FF0-AEDB-FDE4FAACC1CD}" name="stay"/>
    <tableColumn id="2" xr3:uid="{D3EBE046-93B2-437F-BE63-8FFB53878F27}" name="PHQ-9"/>
    <tableColumn id="3" xr3:uid="{86ECC503-8FB8-4C75-BCB1-220226291F0B}" name="Forecast">
      <calculatedColumnFormula>_xlfn.FORECAST.ETS(A2,$B$2:$B$11,$A$2:$A$11,1,1)</calculatedColumnFormula>
    </tableColumn>
    <tableColumn id="4" xr3:uid="{7601A5F4-353D-4872-ACCC-F0C4788DC58A}" name="Lower Confidence Bound" dataDxfId="1">
      <calculatedColumnFormula>C2-_xlfn.FORECAST.ETS.CONFINT(A2,$B$2:$B$11,$A$2:$A$11,0.9,1,1)</calculatedColumnFormula>
    </tableColumn>
    <tableColumn id="5" xr3:uid="{E79385EB-D370-4D8B-B1C0-4E125D39A4A8}" name="Upper Confidence Bound" dataDxfId="0">
      <calculatedColumnFormula>C2+_xlfn.FORECAST.ETS.CONFINT(A2,$B$2:$B$11,$A$2:$A$11,0.9,1,1)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AB4248-68B1-4620-875A-A0F1D7F1CA13}" name="Table4" displayName="Table4" ref="A1:E10" totalsRowShown="0" headerRowDxfId="10" dataDxfId="9">
  <autoFilter ref="A1:E10" xr:uid="{57AB4248-68B1-4620-875A-A0F1D7F1CA13}"/>
  <tableColumns count="5">
    <tableColumn id="1" xr3:uid="{99D42868-8065-48B6-987D-472EC37F9461}" name="stay" dataDxfId="8"/>
    <tableColumn id="2" xr3:uid="{DB769E6C-6FAE-45F7-9C41-2A39113E5F7A}" name="count_int" dataDxfId="7"/>
    <tableColumn id="3" xr3:uid="{A51AA86D-D0E1-498C-9F6F-052E9B1109B0}" name="average_phq" dataDxfId="6"/>
    <tableColumn id="4" xr3:uid="{B8CFC0F7-981D-4ACB-9637-0E71DB87E9F0}" name="average_scs" dataDxfId="5"/>
    <tableColumn id="5" xr3:uid="{5AA5BBCB-0D30-4F1C-9069-80F30955588C}" name="average_as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C9E5-62EE-40FC-A259-D01EA9D38B62}">
  <dimension ref="A1:E7"/>
  <sheetViews>
    <sheetView tabSelected="1" workbookViewId="0">
      <selection activeCell="J58" sqref="J58"/>
    </sheetView>
  </sheetViews>
  <sheetFormatPr defaultRowHeight="15" x14ac:dyDescent="0.25"/>
  <cols>
    <col min="1" max="1" width="11" customWidth="1"/>
    <col min="3" max="3" width="10.5703125" customWidth="1"/>
    <col min="4" max="4" width="25.28515625" customWidth="1"/>
    <col min="5" max="5" width="25.42578125" customWidth="1"/>
  </cols>
  <sheetData>
    <row r="1" spans="1:5" x14ac:dyDescent="0.25">
      <c r="A1" t="s">
        <v>10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>
        <v>1</v>
      </c>
      <c r="B2">
        <v>7.48</v>
      </c>
    </row>
    <row r="3" spans="1:5" x14ac:dyDescent="0.25">
      <c r="A3">
        <v>2</v>
      </c>
      <c r="B3">
        <v>8.2799999999999994</v>
      </c>
    </row>
    <row r="4" spans="1:5" x14ac:dyDescent="0.25">
      <c r="A4">
        <v>3</v>
      </c>
      <c r="B4">
        <v>9.09</v>
      </c>
    </row>
    <row r="5" spans="1:5" x14ac:dyDescent="0.25">
      <c r="A5">
        <v>4</v>
      </c>
      <c r="B5">
        <v>8.57</v>
      </c>
      <c r="C5">
        <v>8.57</v>
      </c>
      <c r="D5" s="1">
        <v>8.57</v>
      </c>
      <c r="E5" s="1">
        <v>8.57</v>
      </c>
    </row>
    <row r="6" spans="1:5" x14ac:dyDescent="0.25">
      <c r="A6">
        <v>5</v>
      </c>
      <c r="C6">
        <f>_xlfn.FORECAST.ETS(A6,$B$2:$B$5,$A$2:$A$5,1,1)</f>
        <v>9.2068952165810671</v>
      </c>
      <c r="D6" s="1">
        <f>C6-_xlfn.FORECAST.ETS.CONFINT(A6,$B$2:$B$5,$A$2:$A$5,0.95,1,1)</f>
        <v>8.3039658068336539</v>
      </c>
      <c r="E6" s="1">
        <f>C6+_xlfn.FORECAST.ETS.CONFINT(A6,$B$2:$B$5,$A$2:$A$5,0.95,1,1)</f>
        <v>10.10982462632848</v>
      </c>
    </row>
    <row r="7" spans="1:5" x14ac:dyDescent="0.25">
      <c r="A7">
        <v>6</v>
      </c>
      <c r="C7">
        <f>_xlfn.FORECAST.ETS(A7,$B$2:$B$5,$A$2:$A$5,1,1)</f>
        <v>9.5873617305728498</v>
      </c>
      <c r="D7" s="1">
        <f>C7-_xlfn.FORECAST.ETS.CONFINT(A7,$B$2:$B$5,$A$2:$A$5,0.95,1,1)</f>
        <v>8.6564239936835889</v>
      </c>
      <c r="E7" s="1">
        <f>C7+_xlfn.FORECAST.ETS.CONFINT(A7,$B$2:$B$5,$A$2:$A$5,0.95,1,1)</f>
        <v>10.518299467462111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FCD7-DB5D-407E-8114-819C5EE324B8}">
  <dimension ref="A1:E16"/>
  <sheetViews>
    <sheetView workbookViewId="0">
      <selection activeCell="J39" sqref="J39"/>
    </sheetView>
  </sheetViews>
  <sheetFormatPr defaultRowHeight="15" x14ac:dyDescent="0.25"/>
  <cols>
    <col min="3" max="3" width="10.5703125" customWidth="1"/>
    <col min="4" max="4" width="25.28515625" customWidth="1"/>
    <col min="5" max="5" width="25.42578125" customWidth="1"/>
  </cols>
  <sheetData>
    <row r="1" spans="1:5" x14ac:dyDescent="0.25">
      <c r="A1" t="s">
        <v>0</v>
      </c>
      <c r="B1" t="s">
        <v>9</v>
      </c>
      <c r="C1" t="s">
        <v>6</v>
      </c>
      <c r="D1" t="s">
        <v>7</v>
      </c>
      <c r="E1" t="s">
        <v>8</v>
      </c>
    </row>
    <row r="2" spans="1:5" x14ac:dyDescent="0.25">
      <c r="A2">
        <v>1</v>
      </c>
      <c r="B2">
        <v>7.48</v>
      </c>
    </row>
    <row r="3" spans="1:5" x14ac:dyDescent="0.25">
      <c r="A3">
        <v>2</v>
      </c>
      <c r="B3">
        <v>8.2799999999999994</v>
      </c>
    </row>
    <row r="4" spans="1:5" x14ac:dyDescent="0.25">
      <c r="A4">
        <v>3</v>
      </c>
      <c r="B4">
        <v>9.09</v>
      </c>
    </row>
    <row r="5" spans="1:5" x14ac:dyDescent="0.25">
      <c r="A5">
        <v>4</v>
      </c>
      <c r="B5">
        <v>8.57</v>
      </c>
    </row>
    <row r="6" spans="1:5" x14ac:dyDescent="0.25">
      <c r="A6">
        <v>5</v>
      </c>
      <c r="B6">
        <v>0</v>
      </c>
    </row>
    <row r="7" spans="1:5" x14ac:dyDescent="0.25">
      <c r="A7">
        <v>6</v>
      </c>
      <c r="B7">
        <v>6</v>
      </c>
    </row>
    <row r="8" spans="1:5" x14ac:dyDescent="0.25">
      <c r="A8">
        <v>7</v>
      </c>
      <c r="B8">
        <v>4</v>
      </c>
    </row>
    <row r="9" spans="1:5" x14ac:dyDescent="0.25">
      <c r="A9">
        <v>8</v>
      </c>
      <c r="B9">
        <v>10</v>
      </c>
    </row>
    <row r="10" spans="1:5" x14ac:dyDescent="0.25">
      <c r="A10">
        <v>9</v>
      </c>
      <c r="B10">
        <v>11.5</v>
      </c>
    </row>
    <row r="11" spans="1:5" x14ac:dyDescent="0.25">
      <c r="A11">
        <v>10</v>
      </c>
      <c r="B11">
        <v>13</v>
      </c>
      <c r="C11">
        <v>13</v>
      </c>
      <c r="D11" s="1">
        <v>13</v>
      </c>
      <c r="E11" s="1">
        <v>13</v>
      </c>
    </row>
    <row r="12" spans="1:5" x14ac:dyDescent="0.25">
      <c r="A12">
        <v>11</v>
      </c>
      <c r="C12">
        <f>_xlfn.FORECAST.ETS(A12,$B$2:$B$11,$A$2:$A$11,1,1)</f>
        <v>12.028440231930329</v>
      </c>
      <c r="D12" s="1">
        <f>C12-_xlfn.FORECAST.ETS.CONFINT(A12,$B$2:$B$11,$A$2:$A$11,0.9,1,1)</f>
        <v>6.0319032753610067</v>
      </c>
      <c r="E12" s="1">
        <f>C12+_xlfn.FORECAST.ETS.CONFINT(A12,$B$2:$B$11,$A$2:$A$11,0.9,1,1)</f>
        <v>18.024977188499651</v>
      </c>
    </row>
    <row r="13" spans="1:5" x14ac:dyDescent="0.25">
      <c r="A13">
        <v>12</v>
      </c>
      <c r="C13">
        <f>_xlfn.FORECAST.ETS(A13,$B$2:$B$11,$A$2:$A$11,1,1)</f>
        <v>12.447775662533569</v>
      </c>
      <c r="D13" s="1">
        <f>C13-_xlfn.FORECAST.ETS.CONFINT(A13,$B$2:$B$11,$A$2:$A$11,0.9,1,1)</f>
        <v>5.7407596529131917</v>
      </c>
      <c r="E13" s="1">
        <f>C13+_xlfn.FORECAST.ETS.CONFINT(A13,$B$2:$B$11,$A$2:$A$11,0.9,1,1)</f>
        <v>19.154791672153948</v>
      </c>
    </row>
    <row r="14" spans="1:5" x14ac:dyDescent="0.25">
      <c r="A14">
        <v>13</v>
      </c>
      <c r="C14">
        <f>_xlfn.FORECAST.ETS(A14,$B$2:$B$11,$A$2:$A$11,1,1)</f>
        <v>12.867111093136801</v>
      </c>
      <c r="D14" s="1">
        <f>C14-_xlfn.FORECAST.ETS.CONFINT(A14,$B$2:$B$11,$A$2:$A$11,0.9,1,1)</f>
        <v>5.5155304218835521</v>
      </c>
      <c r="E14" s="1">
        <f>C14+_xlfn.FORECAST.ETS.CONFINT(A14,$B$2:$B$11,$A$2:$A$11,0.9,1,1)</f>
        <v>20.218691764390051</v>
      </c>
    </row>
    <row r="15" spans="1:5" x14ac:dyDescent="0.25">
      <c r="A15">
        <v>14</v>
      </c>
      <c r="C15">
        <f>_xlfn.FORECAST.ETS(A15,$B$2:$B$11,$A$2:$A$11,1,1)</f>
        <v>13.286446523740041</v>
      </c>
      <c r="D15" s="1">
        <f>C15-_xlfn.FORECAST.ETS.CONFINT(A15,$B$2:$B$11,$A$2:$A$11,0.9,1,1)</f>
        <v>5.3401548586717658</v>
      </c>
      <c r="E15" s="1">
        <f>C15+_xlfn.FORECAST.ETS.CONFINT(A15,$B$2:$B$11,$A$2:$A$11,0.9,1,1)</f>
        <v>21.232738188808316</v>
      </c>
    </row>
    <row r="16" spans="1:5" x14ac:dyDescent="0.25">
      <c r="A16">
        <v>15</v>
      </c>
      <c r="C16">
        <f>_xlfn.FORECAST.ETS(A16,$B$2:$B$11,$A$2:$A$11,1,1)</f>
        <v>13.705781954343275</v>
      </c>
      <c r="D16" s="1">
        <f>C16-_xlfn.FORECAST.ETS.CONFINT(A16,$B$2:$B$11,$A$2:$A$11,0.9,1,1)</f>
        <v>5.2041600942872464</v>
      </c>
      <c r="E16" s="1">
        <f>C16+_xlfn.FORECAST.ETS.CONFINT(A16,$B$2:$B$11,$A$2:$A$11,0.9,1,1)</f>
        <v>22.207403814399303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2EFC-F6AB-456B-B3FB-8498FD56B211}">
  <dimension ref="A3:C13"/>
  <sheetViews>
    <sheetView workbookViewId="0">
      <selection activeCell="E26" sqref="E26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22.85546875" bestFit="1" customWidth="1"/>
  </cols>
  <sheetData>
    <row r="3" spans="1:3" x14ac:dyDescent="0.25">
      <c r="A3" s="2" t="s">
        <v>11</v>
      </c>
      <c r="B3" t="s">
        <v>13</v>
      </c>
      <c r="C3" t="s">
        <v>14</v>
      </c>
    </row>
    <row r="4" spans="1:3" x14ac:dyDescent="0.25">
      <c r="A4" s="3">
        <v>1</v>
      </c>
      <c r="B4">
        <v>95</v>
      </c>
      <c r="C4">
        <v>7.48</v>
      </c>
    </row>
    <row r="5" spans="1:3" x14ac:dyDescent="0.25">
      <c r="A5" s="3">
        <v>2</v>
      </c>
      <c r="B5">
        <v>39</v>
      </c>
      <c r="C5">
        <v>8.2799999999999994</v>
      </c>
    </row>
    <row r="6" spans="1:3" x14ac:dyDescent="0.25">
      <c r="A6" s="3">
        <v>3</v>
      </c>
      <c r="B6">
        <v>46</v>
      </c>
      <c r="C6">
        <v>9.09</v>
      </c>
    </row>
    <row r="7" spans="1:3" x14ac:dyDescent="0.25">
      <c r="A7" s="3">
        <v>4</v>
      </c>
      <c r="B7">
        <v>14</v>
      </c>
      <c r="C7">
        <v>8.57</v>
      </c>
    </row>
    <row r="8" spans="1:3" x14ac:dyDescent="0.25">
      <c r="A8" s="3">
        <v>5</v>
      </c>
      <c r="B8">
        <v>1</v>
      </c>
      <c r="C8">
        <v>0</v>
      </c>
    </row>
    <row r="9" spans="1:3" x14ac:dyDescent="0.25">
      <c r="A9" s="3">
        <v>6</v>
      </c>
      <c r="B9">
        <v>3</v>
      </c>
      <c r="C9">
        <v>6</v>
      </c>
    </row>
    <row r="10" spans="1:3" x14ac:dyDescent="0.25">
      <c r="A10" s="3">
        <v>7</v>
      </c>
      <c r="B10">
        <v>1</v>
      </c>
      <c r="C10">
        <v>4</v>
      </c>
    </row>
    <row r="11" spans="1:3" x14ac:dyDescent="0.25">
      <c r="A11" s="3">
        <v>8</v>
      </c>
      <c r="B11">
        <v>1</v>
      </c>
      <c r="C11">
        <v>10</v>
      </c>
    </row>
    <row r="12" spans="1:3" x14ac:dyDescent="0.25">
      <c r="A12" s="3">
        <v>10</v>
      </c>
      <c r="B12">
        <v>1</v>
      </c>
      <c r="C12">
        <v>13</v>
      </c>
    </row>
    <row r="13" spans="1:3" x14ac:dyDescent="0.25">
      <c r="A13" s="3" t="s">
        <v>12</v>
      </c>
      <c r="B13">
        <v>201</v>
      </c>
      <c r="C13">
        <v>7.38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99F1-3FC4-4C6F-A7E0-0994C16AAF58}">
  <dimension ref="A1:E10"/>
  <sheetViews>
    <sheetView workbookViewId="0">
      <selection activeCell="C5" sqref="C5"/>
    </sheetView>
  </sheetViews>
  <sheetFormatPr defaultColWidth="24.28515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</v>
      </c>
      <c r="B2">
        <v>1</v>
      </c>
      <c r="C2">
        <v>13</v>
      </c>
      <c r="D2">
        <v>32</v>
      </c>
      <c r="E2">
        <v>50</v>
      </c>
    </row>
    <row r="3" spans="1:5" x14ac:dyDescent="0.25">
      <c r="A3">
        <v>8</v>
      </c>
      <c r="B3">
        <v>1</v>
      </c>
      <c r="C3">
        <v>10</v>
      </c>
      <c r="D3">
        <v>44</v>
      </c>
      <c r="E3">
        <v>65</v>
      </c>
    </row>
    <row r="4" spans="1:5" x14ac:dyDescent="0.25">
      <c r="A4">
        <v>7</v>
      </c>
      <c r="B4">
        <v>1</v>
      </c>
      <c r="C4">
        <v>4</v>
      </c>
      <c r="D4">
        <v>48</v>
      </c>
      <c r="E4">
        <v>45</v>
      </c>
    </row>
    <row r="5" spans="1:5" x14ac:dyDescent="0.25">
      <c r="A5">
        <v>6</v>
      </c>
      <c r="B5">
        <v>3</v>
      </c>
      <c r="C5">
        <v>6</v>
      </c>
      <c r="D5">
        <v>38</v>
      </c>
      <c r="E5">
        <v>58.67</v>
      </c>
    </row>
    <row r="6" spans="1:5" x14ac:dyDescent="0.25">
      <c r="A6">
        <v>5</v>
      </c>
      <c r="B6">
        <v>1</v>
      </c>
      <c r="C6">
        <v>0</v>
      </c>
      <c r="D6">
        <v>34</v>
      </c>
      <c r="E6">
        <v>91</v>
      </c>
    </row>
    <row r="7" spans="1:5" x14ac:dyDescent="0.25">
      <c r="A7">
        <v>4</v>
      </c>
      <c r="B7">
        <v>14</v>
      </c>
      <c r="C7">
        <v>8.57</v>
      </c>
      <c r="D7">
        <v>33.93</v>
      </c>
      <c r="E7">
        <v>87.71</v>
      </c>
    </row>
    <row r="8" spans="1:5" x14ac:dyDescent="0.25">
      <c r="A8">
        <v>3</v>
      </c>
      <c r="B8">
        <v>46</v>
      </c>
      <c r="C8">
        <v>9.09</v>
      </c>
      <c r="D8">
        <v>37.130000000000003</v>
      </c>
      <c r="E8">
        <v>78</v>
      </c>
    </row>
    <row r="9" spans="1:5" x14ac:dyDescent="0.25">
      <c r="A9">
        <v>2</v>
      </c>
      <c r="B9">
        <v>39</v>
      </c>
      <c r="C9">
        <v>8.2799999999999994</v>
      </c>
      <c r="D9">
        <v>37.08</v>
      </c>
      <c r="E9">
        <v>77.67</v>
      </c>
    </row>
    <row r="10" spans="1:5" x14ac:dyDescent="0.25">
      <c r="A10">
        <v>1</v>
      </c>
      <c r="B10">
        <v>95</v>
      </c>
      <c r="C10">
        <v>7.48</v>
      </c>
      <c r="D10">
        <v>38.11</v>
      </c>
      <c r="E10">
        <v>72.8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Demonstration of Faulty Data</vt:lpstr>
      <vt:lpstr>Forecasted PHQ9</vt:lpstr>
      <vt:lpstr>Pivot Table</vt:lpstr>
      <vt:lpstr>qaresults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Alewine</dc:creator>
  <cp:lastModifiedBy>Evan Alewine</cp:lastModifiedBy>
  <dcterms:created xsi:type="dcterms:W3CDTF">2026-05-28T05:57:19Z</dcterms:created>
  <dcterms:modified xsi:type="dcterms:W3CDTF">2026-05-28T07:29:57Z</dcterms:modified>
</cp:coreProperties>
</file>